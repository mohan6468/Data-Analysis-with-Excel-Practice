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68r\Downloads\"/>
    </mc:Choice>
  </mc:AlternateContent>
  <xr:revisionPtr revIDLastSave="0" documentId="13_ncr:1_{12D4F713-8D06-4F6D-9E7A-8BEAC733E11E}" xr6:coauthVersionLast="47" xr6:coauthVersionMax="47" xr10:uidLastSave="{00000000-0000-0000-0000-000000000000}"/>
  <bookViews>
    <workbookView xWindow="-110" yWindow="-110" windowWidth="19420" windowHeight="11500" activeTab="2" xr2:uid="{DEF35721-BD77-4EDD-87B9-B32EE36CDE24}"/>
  </bookViews>
  <sheets>
    <sheet name="Employee" sheetId="1" r:id="rId1"/>
    <sheet name="Business Questions" sheetId="2" r:id="rId2"/>
    <sheet name="Interview 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19" i="1" l="1"/>
  <c r="V17" i="1"/>
</calcChain>
</file>

<file path=xl/sharedStrings.xml><?xml version="1.0" encoding="utf-8"?>
<sst xmlns="http://schemas.openxmlformats.org/spreadsheetml/2006/main" count="175" uniqueCount="93">
  <si>
    <t>EmpID</t>
  </si>
  <si>
    <t>Name</t>
  </si>
  <si>
    <t>Department</t>
  </si>
  <si>
    <t>Gender</t>
  </si>
  <si>
    <t>Experience</t>
  </si>
  <si>
    <t>Salary</t>
  </si>
  <si>
    <t>Attrition</t>
  </si>
  <si>
    <t>Ravi</t>
  </si>
  <si>
    <t>IT</t>
  </si>
  <si>
    <t>M</t>
  </si>
  <si>
    <t>Yes</t>
  </si>
  <si>
    <t>Sita</t>
  </si>
  <si>
    <t>HR</t>
  </si>
  <si>
    <t>F</t>
  </si>
  <si>
    <t>No</t>
  </si>
  <si>
    <t>John</t>
  </si>
  <si>
    <t>Sales</t>
  </si>
  <si>
    <t>Anita</t>
  </si>
  <si>
    <t>Rajesh</t>
  </si>
  <si>
    <t>Sunil</t>
  </si>
  <si>
    <t>Priya</t>
  </si>
  <si>
    <t>Kiran</t>
  </si>
  <si>
    <t>Deepa</t>
  </si>
  <si>
    <t>Mohan</t>
  </si>
  <si>
    <t>Harish</t>
  </si>
  <si>
    <t>Swathi</t>
  </si>
  <si>
    <t>Arun</t>
  </si>
  <si>
    <t>Latha</t>
  </si>
  <si>
    <t>Venkat</t>
  </si>
  <si>
    <t>Geetha</t>
  </si>
  <si>
    <t>Ramesh</t>
  </si>
  <si>
    <t>Divya</t>
  </si>
  <si>
    <t>Naveen</t>
  </si>
  <si>
    <t>Suresh</t>
  </si>
  <si>
    <t>Business Questions</t>
  </si>
  <si>
    <t>What is the total salary paid to all employees?</t>
  </si>
  <si>
    <t>What is the average salary of employees?</t>
  </si>
  <si>
    <t>What is the highest salary?</t>
  </si>
  <si>
    <t>What is the lowest salary?</t>
  </si>
  <si>
    <t>How many employees are there?</t>
  </si>
  <si>
    <t>How many employees are working in IT?</t>
  </si>
  <si>
    <t>How many employees are working in Sales?</t>
  </si>
  <si>
    <t>What is the total salary of IT employees?</t>
  </si>
  <si>
    <t>What is the total salary of HR employees?</t>
  </si>
  <si>
    <t>What is the average salary of Sales employees?</t>
  </si>
  <si>
    <t>How many employees left the company?</t>
  </si>
  <si>
    <t>How many employees stayed in the company?</t>
  </si>
  <si>
    <t>Calculate attrition status:</t>
  </si>
  <si>
    <t>Employees with experience &gt; 5 years should be marked as Senior.</t>
  </si>
  <si>
    <t>How many employees have more than 5 years experience?</t>
  </si>
  <si>
    <t>Employees earning above ₹50,000 should be marked High Salary.</t>
  </si>
  <si>
    <t>How many employees earn more than ₹50,000?</t>
  </si>
  <si>
    <t>Calculate 10% retention bonus for employees earning more than ₹60,000.</t>
  </si>
  <si>
    <t>Convert employee names into proper case.</t>
  </si>
  <si>
    <t>Extract first 2 letters from employee names.</t>
  </si>
  <si>
    <t>Interview Questions</t>
  </si>
  <si>
    <t>What formula will you use to find the total salary paid to employees?</t>
  </si>
  <si>
    <t>What formula will you use to calculate average employee salary?</t>
  </si>
  <si>
    <t>How will you identify the employee with the highest salary?</t>
  </si>
  <si>
    <t>How will you find the number of employees in the company?</t>
  </si>
  <si>
    <t>How will you count employees in the IT department?</t>
  </si>
  <si>
    <t>HR wants total salary paid to Sales department. Which formula will you use?</t>
  </si>
  <si>
    <t>How will you calculate average salary of HR department?</t>
  </si>
  <si>
    <t>How will you classify employees as High Salary and Low Salary?</t>
  </si>
  <si>
    <t>How will you identify employees with experience greater than 5 years?</t>
  </si>
  <si>
    <t>How will you calculate bonus only for employees earning above ₹50,000?</t>
  </si>
  <si>
    <t>Employee Attrition Data</t>
  </si>
  <si>
    <t>Work Experience</t>
  </si>
  <si>
    <t>Salary Range</t>
  </si>
  <si>
    <t>Retention Bonus</t>
  </si>
  <si>
    <t xml:space="preserve">First two charcters </t>
  </si>
  <si>
    <t>Cleaned Names</t>
  </si>
  <si>
    <t>(Sum)</t>
  </si>
  <si>
    <t>(Average)</t>
  </si>
  <si>
    <t>(Max)</t>
  </si>
  <si>
    <t>(min)</t>
  </si>
  <si>
    <t>(count)</t>
  </si>
  <si>
    <t>(Countif)</t>
  </si>
  <si>
    <t>(Sumif)</t>
  </si>
  <si>
    <t>(Averageif)</t>
  </si>
  <si>
    <t>(attrition "Yes")/(attrition "No")</t>
  </si>
  <si>
    <t>(if)</t>
  </si>
  <si>
    <t>(if)(sal&gt;60000,sal*0.1,0)</t>
  </si>
  <si>
    <t>(Proper)</t>
  </si>
  <si>
    <t>(Left)</t>
  </si>
  <si>
    <t>Sum Function</t>
  </si>
  <si>
    <t>Average Function</t>
  </si>
  <si>
    <t>Max Function</t>
  </si>
  <si>
    <t>Count Function</t>
  </si>
  <si>
    <t>Countif Function</t>
  </si>
  <si>
    <t>Sumif Function</t>
  </si>
  <si>
    <t>Averageif Function</t>
  </si>
  <si>
    <t>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</si>
</sst>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9" fontId="0" fillId="0" borderId="0" xfId="1" applyFont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2" borderId="0" xfId="0" applyFill="1"/>
    <xf numFmtId="0" fontId="0" fillId="5" borderId="0" xfId="0" applyFill="1"/>
  </cellXfs>
  <cellStyles count="2">
    <cellStyle name="Normal" xfId="0" builtinId="0"/>
    <cellStyle name="Per cent" xfId="1" builtinId="5"/>
  </cellStyles>
  <dxfs count="16">
    <dxf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76A07-2D20-4489-AEBF-4700D6421BAC}" name="Table1" displayName="Table1" ref="A2:L22" totalsRowShown="0" headerRowDxfId="15" headerRowBorderDxfId="14" tableBorderDxfId="13" totalsRowBorderDxfId="12">
  <autoFilter ref="A2:L22" xr:uid="{CA776A07-2D20-4489-AEBF-4700D6421BAC}"/>
  <tableColumns count="12">
    <tableColumn id="1" xr3:uid="{3A71AF8C-F6DB-4AEE-835A-511AFDA53FBF}" name="EmpID" dataDxfId="11"/>
    <tableColumn id="2" xr3:uid="{4C28CF1A-010A-4901-AB5B-F4197C450D1A}" name="Name" dataDxfId="10"/>
    <tableColumn id="3" xr3:uid="{2C0AB873-7C73-4254-BCBE-23000EBE230D}" name="Department" dataDxfId="9"/>
    <tableColumn id="4" xr3:uid="{9AFBBF93-4666-4F69-B05C-3661EB4DF123}" name="Gender" dataDxfId="8"/>
    <tableColumn id="5" xr3:uid="{C4858971-19CF-4612-86F6-811C6836A517}" name="Experience" dataDxfId="7"/>
    <tableColumn id="6" xr3:uid="{B57CE466-F0EE-4CA4-A461-C63EE39FAE5B}" name="Salary" dataDxfId="6"/>
    <tableColumn id="7" xr3:uid="{69C8F5E5-EC43-49E0-83D2-A1780BB6967D}" name="Attrition" dataDxfId="5"/>
    <tableColumn id="12" xr3:uid="{CCABC15A-4E11-4271-9FEA-C34757C4622B}" name="Salary Range" dataDxfId="4">
      <calculatedColumnFormula>IF(Table1[[#This Row],[Salary]]&gt;50000,"High Salary","Low Salary")</calculatedColumnFormula>
    </tableColumn>
    <tableColumn id="8" xr3:uid="{E2E8411D-AD1D-4096-87B7-C486FD72F5F6}" name="Work Experience" dataDxfId="3">
      <calculatedColumnFormula>IF(Table1[[#This Row],[Experience]]&gt;5,"Senior","Junior")</calculatedColumnFormula>
    </tableColumn>
    <tableColumn id="13" xr3:uid="{EB42AD72-ADAE-492F-BB3E-4129253D7E2B}" name="Retention Bonus" dataDxfId="2">
      <calculatedColumnFormula>IF(Table1[[#This Row],[Salary]]&gt;60000,Table1[[#This Row],[Salary]]*0.1,0)</calculatedColumnFormula>
    </tableColumn>
    <tableColumn id="14" xr3:uid="{8CEC88EE-D00F-44BD-A7BA-545F2B38A63A}" name="First two charcters " dataDxfId="1">
      <calculatedColumnFormula>LEFT(Table1[[#This Row],[Name]],2)</calculatedColumnFormula>
    </tableColumn>
    <tableColumn id="15" xr3:uid="{9E7C0287-3185-4C98-8C79-9066270E33B6}" name="Cleaned Names" dataDxfId="0">
      <calculatedColumnFormula>PROPER(Table1[[#This Row],[Name]])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0EC1-2676-4440-BBFD-C487325D8F20}">
  <dimension ref="A1:W22"/>
  <sheetViews>
    <sheetView workbookViewId="0">
      <selection activeCell="W22" sqref="W22"/>
    </sheetView>
  </sheetViews>
  <sheetFormatPr defaultRowHeight="14.5" x14ac:dyDescent="0.35"/>
  <cols>
    <col min="3" max="3" width="16" customWidth="1"/>
    <col min="4" max="4" width="9" customWidth="1"/>
    <col min="5" max="5" width="11.90625" customWidth="1"/>
    <col min="7" max="7" width="10" customWidth="1"/>
    <col min="8" max="9" width="15.90625" customWidth="1"/>
    <col min="10" max="10" width="17.36328125" customWidth="1"/>
    <col min="11" max="11" width="14.7265625" customWidth="1"/>
    <col min="12" max="12" width="14.453125" customWidth="1"/>
    <col min="20" max="20" width="6" customWidth="1"/>
    <col min="21" max="22" width="12.26953125" customWidth="1"/>
    <col min="23" max="23" width="11.90625" customWidth="1"/>
  </cols>
  <sheetData>
    <row r="1" spans="1:23" ht="21" x14ac:dyDescent="0.5">
      <c r="A1" s="22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23" ht="29" x14ac:dyDescent="0.35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9" t="s">
        <v>6</v>
      </c>
      <c r="H2" s="9" t="s">
        <v>68</v>
      </c>
      <c r="I2" s="7" t="s">
        <v>67</v>
      </c>
      <c r="J2" s="7" t="s">
        <v>69</v>
      </c>
      <c r="K2" s="7" t="s">
        <v>70</v>
      </c>
      <c r="L2" s="7" t="s">
        <v>71</v>
      </c>
    </row>
    <row r="3" spans="1:23" x14ac:dyDescent="0.35">
      <c r="A3" s="4">
        <v>101</v>
      </c>
      <c r="B3" s="2" t="s">
        <v>7</v>
      </c>
      <c r="C3" s="2" t="s">
        <v>8</v>
      </c>
      <c r="D3" s="2" t="s">
        <v>9</v>
      </c>
      <c r="E3" s="3">
        <v>2</v>
      </c>
      <c r="F3" s="3">
        <v>35000</v>
      </c>
      <c r="G3" s="5" t="s">
        <v>10</v>
      </c>
      <c r="H3" s="15" t="str">
        <f>IF(Table1[[#This Row],[Salary]]&gt;50000,"High Salary","Low Salary")</f>
        <v>Low Salary</v>
      </c>
      <c r="I3" s="15" t="str">
        <f>IF(Table1[[#This Row],[Experience]]&gt;5,"Senior","Junior")</f>
        <v>Junior</v>
      </c>
      <c r="J3" s="16">
        <f>IF(Table1[[#This Row],[Salary]]&gt;60000,Table1[[#This Row],[Salary]]*0.1,0)</f>
        <v>0</v>
      </c>
      <c r="K3" s="15" t="str">
        <f>LEFT(Table1[[#This Row],[Name]],2)</f>
        <v>Ra</v>
      </c>
      <c r="L3" s="20" t="str">
        <f>PROPER(Table1[[#This Row],[Name]])</f>
        <v>Ravi</v>
      </c>
      <c r="P3">
        <v>1</v>
      </c>
      <c r="Q3" t="s">
        <v>35</v>
      </c>
      <c r="V3">
        <f>SUM(F3:F22)</f>
        <v>1008000</v>
      </c>
      <c r="W3" t="s">
        <v>72</v>
      </c>
    </row>
    <row r="4" spans="1:23" x14ac:dyDescent="0.35">
      <c r="A4" s="4">
        <v>102</v>
      </c>
      <c r="B4" s="2" t="s">
        <v>11</v>
      </c>
      <c r="C4" s="2" t="s">
        <v>12</v>
      </c>
      <c r="D4" s="2" t="s">
        <v>13</v>
      </c>
      <c r="E4" s="3">
        <v>5</v>
      </c>
      <c r="F4" s="3">
        <v>45000</v>
      </c>
      <c r="G4" s="5" t="s">
        <v>14</v>
      </c>
      <c r="H4" s="5" t="str">
        <f>IF(Table1[[#This Row],[Salary]]&gt;50000,"High Salary","Low Salary")</f>
        <v>Low Salary</v>
      </c>
      <c r="I4" s="5" t="str">
        <f>IF(Table1[[#This Row],[Experience]]&gt;5,"Senior","Junior")</f>
        <v>Junior</v>
      </c>
      <c r="J4" s="17">
        <f>IF(Table1[[#This Row],[Salary]]&gt;60000,Table1[[#This Row],[Salary]]*0.1,0)</f>
        <v>0</v>
      </c>
      <c r="K4" s="5" t="str">
        <f>LEFT(Table1[[#This Row],[Name]],2)</f>
        <v>Si</v>
      </c>
      <c r="L4" s="19" t="str">
        <f>PROPER(Table1[[#This Row],[Name]])</f>
        <v>Sita</v>
      </c>
      <c r="P4">
        <v>2</v>
      </c>
      <c r="Q4" t="s">
        <v>36</v>
      </c>
      <c r="V4">
        <f>AVERAGE(F3:F22)</f>
        <v>50400</v>
      </c>
      <c r="W4" t="s">
        <v>73</v>
      </c>
    </row>
    <row r="5" spans="1:23" x14ac:dyDescent="0.35">
      <c r="A5" s="4">
        <v>103</v>
      </c>
      <c r="B5" s="2" t="s">
        <v>15</v>
      </c>
      <c r="C5" s="2" t="s">
        <v>16</v>
      </c>
      <c r="D5" s="2" t="s">
        <v>9</v>
      </c>
      <c r="E5" s="3">
        <v>1</v>
      </c>
      <c r="F5" s="3">
        <v>30000</v>
      </c>
      <c r="G5" s="5" t="s">
        <v>10</v>
      </c>
      <c r="H5" s="5" t="str">
        <f>IF(Table1[[#This Row],[Salary]]&gt;50000,"High Salary","Low Salary")</f>
        <v>Low Salary</v>
      </c>
      <c r="I5" s="5" t="str">
        <f>IF(Table1[[#This Row],[Experience]]&gt;5,"Senior","Junior")</f>
        <v>Junior</v>
      </c>
      <c r="J5" s="17">
        <f>IF(Table1[[#This Row],[Salary]]&gt;60000,Table1[[#This Row],[Salary]]*0.1,0)</f>
        <v>0</v>
      </c>
      <c r="K5" s="5" t="str">
        <f>LEFT(Table1[[#This Row],[Name]],2)</f>
        <v>Jo</v>
      </c>
      <c r="L5" s="19" t="str">
        <f>PROPER(Table1[[#This Row],[Name]])</f>
        <v>John</v>
      </c>
      <c r="P5">
        <v>3</v>
      </c>
      <c r="Q5" t="s">
        <v>37</v>
      </c>
      <c r="V5">
        <f>MAX(F3:F22)</f>
        <v>80000</v>
      </c>
      <c r="W5" t="s">
        <v>74</v>
      </c>
    </row>
    <row r="6" spans="1:23" x14ac:dyDescent="0.35">
      <c r="A6" s="4">
        <v>104</v>
      </c>
      <c r="B6" s="2" t="s">
        <v>17</v>
      </c>
      <c r="C6" s="2" t="s">
        <v>8</v>
      </c>
      <c r="D6" s="2" t="s">
        <v>13</v>
      </c>
      <c r="E6" s="3">
        <v>7</v>
      </c>
      <c r="F6" s="3">
        <v>65000</v>
      </c>
      <c r="G6" s="5" t="s">
        <v>14</v>
      </c>
      <c r="H6" s="5" t="str">
        <f>IF(Table1[[#This Row],[Salary]]&gt;50000,"High Salary","Low Salary")</f>
        <v>High Salary</v>
      </c>
      <c r="I6" s="5" t="str">
        <f>IF(Table1[[#This Row],[Experience]]&gt;5,"Senior","Junior")</f>
        <v>Senior</v>
      </c>
      <c r="J6" s="17">
        <f>IF(Table1[[#This Row],[Salary]]&gt;60000,Table1[[#This Row],[Salary]]*0.1,0)</f>
        <v>6500</v>
      </c>
      <c r="K6" s="5" t="str">
        <f>LEFT(Table1[[#This Row],[Name]],2)</f>
        <v>An</v>
      </c>
      <c r="L6" s="19" t="str">
        <f>PROPER(Table1[[#This Row],[Name]])</f>
        <v>Anita</v>
      </c>
      <c r="P6">
        <v>4</v>
      </c>
      <c r="Q6" t="s">
        <v>38</v>
      </c>
      <c r="V6">
        <f>MIN(F3:F22)</f>
        <v>30000</v>
      </c>
      <c r="W6" t="s">
        <v>75</v>
      </c>
    </row>
    <row r="7" spans="1:23" x14ac:dyDescent="0.35">
      <c r="A7" s="4">
        <v>105</v>
      </c>
      <c r="B7" s="2" t="s">
        <v>18</v>
      </c>
      <c r="C7" s="2" t="s">
        <v>16</v>
      </c>
      <c r="D7" s="2" t="s">
        <v>9</v>
      </c>
      <c r="E7" s="3">
        <v>3</v>
      </c>
      <c r="F7" s="3">
        <v>40000</v>
      </c>
      <c r="G7" s="5" t="s">
        <v>14</v>
      </c>
      <c r="H7" s="5" t="str">
        <f>IF(Table1[[#This Row],[Salary]]&gt;50000,"High Salary","Low Salary")</f>
        <v>Low Salary</v>
      </c>
      <c r="I7" s="5" t="str">
        <f>IF(Table1[[#This Row],[Experience]]&gt;5,"Senior","Junior")</f>
        <v>Junior</v>
      </c>
      <c r="J7" s="17">
        <f>IF(Table1[[#This Row],[Salary]]&gt;60000,Table1[[#This Row],[Salary]]*0.1,0)</f>
        <v>0</v>
      </c>
      <c r="K7" s="5" t="str">
        <f>LEFT(Table1[[#This Row],[Name]],2)</f>
        <v>Ra</v>
      </c>
      <c r="L7" s="19" t="str">
        <f>PROPER(Table1[[#This Row],[Name]])</f>
        <v>Rajesh</v>
      </c>
      <c r="P7">
        <v>5</v>
      </c>
      <c r="Q7" t="s">
        <v>39</v>
      </c>
      <c r="V7">
        <f>COUNT(A3:A22)</f>
        <v>20</v>
      </c>
      <c r="W7" t="s">
        <v>76</v>
      </c>
    </row>
    <row r="8" spans="1:23" x14ac:dyDescent="0.35">
      <c r="A8" s="4">
        <v>106</v>
      </c>
      <c r="B8" s="2" t="s">
        <v>19</v>
      </c>
      <c r="C8" s="2" t="s">
        <v>8</v>
      </c>
      <c r="D8" s="2" t="s">
        <v>9</v>
      </c>
      <c r="E8" s="3">
        <v>8</v>
      </c>
      <c r="F8" s="3">
        <v>70000</v>
      </c>
      <c r="G8" s="5" t="s">
        <v>14</v>
      </c>
      <c r="H8" s="5" t="str">
        <f>IF(Table1[[#This Row],[Salary]]&gt;50000,"High Salary","Low Salary")</f>
        <v>High Salary</v>
      </c>
      <c r="I8" s="5" t="str">
        <f>IF(Table1[[#This Row],[Experience]]&gt;5,"Senior","Junior")</f>
        <v>Senior</v>
      </c>
      <c r="J8" s="17">
        <f>IF(Table1[[#This Row],[Salary]]&gt;60000,Table1[[#This Row],[Salary]]*0.1,0)</f>
        <v>7000</v>
      </c>
      <c r="K8" s="5" t="str">
        <f>LEFT(Table1[[#This Row],[Name]],2)</f>
        <v>Su</v>
      </c>
      <c r="L8" s="19" t="str">
        <f>PROPER(Table1[[#This Row],[Name]])</f>
        <v>Sunil</v>
      </c>
      <c r="P8">
        <v>6</v>
      </c>
      <c r="Q8" t="s">
        <v>40</v>
      </c>
      <c r="V8">
        <f>COUNTIF(C3:C22,"IT")</f>
        <v>7</v>
      </c>
      <c r="W8" t="s">
        <v>77</v>
      </c>
    </row>
    <row r="9" spans="1:23" x14ac:dyDescent="0.35">
      <c r="A9" s="4">
        <v>107</v>
      </c>
      <c r="B9" s="2" t="s">
        <v>20</v>
      </c>
      <c r="C9" s="2" t="s">
        <v>12</v>
      </c>
      <c r="D9" s="2" t="s">
        <v>13</v>
      </c>
      <c r="E9" s="3">
        <v>2</v>
      </c>
      <c r="F9" s="3">
        <v>38000</v>
      </c>
      <c r="G9" s="5" t="s">
        <v>10</v>
      </c>
      <c r="H9" s="5" t="str">
        <f>IF(Table1[[#This Row],[Salary]]&gt;50000,"High Salary","Low Salary")</f>
        <v>Low Salary</v>
      </c>
      <c r="I9" s="5" t="str">
        <f>IF(Table1[[#This Row],[Experience]]&gt;5,"Senior","Junior")</f>
        <v>Junior</v>
      </c>
      <c r="J9" s="17">
        <f>IF(Table1[[#This Row],[Salary]]&gt;60000,Table1[[#This Row],[Salary]]*0.1,0)</f>
        <v>0</v>
      </c>
      <c r="K9" s="5" t="str">
        <f>LEFT(Table1[[#This Row],[Name]],2)</f>
        <v>Pr</v>
      </c>
      <c r="L9" s="19" t="str">
        <f>PROPER(Table1[[#This Row],[Name]])</f>
        <v>Priya</v>
      </c>
      <c r="P9">
        <v>7</v>
      </c>
      <c r="Q9" t="s">
        <v>41</v>
      </c>
      <c r="V9">
        <f>COUNTIF(C3:C22,"Sales")</f>
        <v>8</v>
      </c>
      <c r="W9" t="s">
        <v>77</v>
      </c>
    </row>
    <row r="10" spans="1:23" x14ac:dyDescent="0.35">
      <c r="A10" s="4">
        <v>108</v>
      </c>
      <c r="B10" s="2" t="s">
        <v>21</v>
      </c>
      <c r="C10" s="2" t="s">
        <v>16</v>
      </c>
      <c r="D10" s="2" t="s">
        <v>9</v>
      </c>
      <c r="E10" s="3">
        <v>4</v>
      </c>
      <c r="F10" s="3">
        <v>42000</v>
      </c>
      <c r="G10" s="5" t="s">
        <v>14</v>
      </c>
      <c r="H10" s="5" t="str">
        <f>IF(Table1[[#This Row],[Salary]]&gt;50000,"High Salary","Low Salary")</f>
        <v>Low Salary</v>
      </c>
      <c r="I10" s="5" t="str">
        <f>IF(Table1[[#This Row],[Experience]]&gt;5,"Senior","Junior")</f>
        <v>Junior</v>
      </c>
      <c r="J10" s="17">
        <f>IF(Table1[[#This Row],[Salary]]&gt;60000,Table1[[#This Row],[Salary]]*0.1,0)</f>
        <v>0</v>
      </c>
      <c r="K10" s="5" t="str">
        <f>LEFT(Table1[[#This Row],[Name]],2)</f>
        <v>Ki</v>
      </c>
      <c r="L10" s="19" t="str">
        <f>PROPER(Table1[[#This Row],[Name]])</f>
        <v>Kiran</v>
      </c>
      <c r="P10">
        <v>8</v>
      </c>
      <c r="Q10" t="s">
        <v>42</v>
      </c>
      <c r="V10">
        <f>SUMIF(C3:C22,"IT",F3:F22)</f>
        <v>459000</v>
      </c>
      <c r="W10" t="s">
        <v>78</v>
      </c>
    </row>
    <row r="11" spans="1:23" x14ac:dyDescent="0.35">
      <c r="A11" s="4">
        <v>109</v>
      </c>
      <c r="B11" s="2" t="s">
        <v>22</v>
      </c>
      <c r="C11" s="2" t="s">
        <v>8</v>
      </c>
      <c r="D11" s="2" t="s">
        <v>13</v>
      </c>
      <c r="E11" s="3">
        <v>6</v>
      </c>
      <c r="F11" s="3">
        <v>62000</v>
      </c>
      <c r="G11" s="5" t="s">
        <v>14</v>
      </c>
      <c r="H11" s="5" t="str">
        <f>IF(Table1[[#This Row],[Salary]]&gt;50000,"High Salary","Low Salary")</f>
        <v>High Salary</v>
      </c>
      <c r="I11" s="5" t="str">
        <f>IF(Table1[[#This Row],[Experience]]&gt;5,"Senior","Junior")</f>
        <v>Senior</v>
      </c>
      <c r="J11" s="17">
        <f>IF(Table1[[#This Row],[Salary]]&gt;60000,Table1[[#This Row],[Salary]]*0.1,0)</f>
        <v>6200</v>
      </c>
      <c r="K11" s="5" t="str">
        <f>LEFT(Table1[[#This Row],[Name]],2)</f>
        <v>De</v>
      </c>
      <c r="L11" s="19" t="str">
        <f>PROPER(Table1[[#This Row],[Name]])</f>
        <v>Deepa</v>
      </c>
      <c r="P11">
        <v>9</v>
      </c>
      <c r="Q11" t="s">
        <v>43</v>
      </c>
      <c r="V11">
        <f>SUMIF(C3:C22,"HR",F3:F22)</f>
        <v>224000</v>
      </c>
      <c r="W11" t="s">
        <v>78</v>
      </c>
    </row>
    <row r="12" spans="1:23" x14ac:dyDescent="0.35">
      <c r="A12" s="4">
        <v>110</v>
      </c>
      <c r="B12" s="2" t="s">
        <v>23</v>
      </c>
      <c r="C12" s="2" t="s">
        <v>16</v>
      </c>
      <c r="D12" s="2" t="s">
        <v>9</v>
      </c>
      <c r="E12" s="3">
        <v>2</v>
      </c>
      <c r="F12" s="3">
        <v>35000</v>
      </c>
      <c r="G12" s="5" t="s">
        <v>10</v>
      </c>
      <c r="H12" s="5" t="str">
        <f>IF(Table1[[#This Row],[Salary]]&gt;50000,"High Salary","Low Salary")</f>
        <v>Low Salary</v>
      </c>
      <c r="I12" s="5" t="str">
        <f>IF(Table1[[#This Row],[Experience]]&gt;5,"Senior","Junior")</f>
        <v>Junior</v>
      </c>
      <c r="J12" s="17">
        <f>IF(Table1[[#This Row],[Salary]]&gt;60000,Table1[[#This Row],[Salary]]*0.1,0)</f>
        <v>0</v>
      </c>
      <c r="K12" s="5" t="str">
        <f>LEFT(Table1[[#This Row],[Name]],2)</f>
        <v>Mo</v>
      </c>
      <c r="L12" s="19" t="str">
        <f>PROPER(Table1[[#This Row],[Name]])</f>
        <v>Mohan</v>
      </c>
      <c r="P12">
        <v>10</v>
      </c>
      <c r="Q12" t="s">
        <v>44</v>
      </c>
      <c r="V12">
        <f>AVERAGEIF(C3:C22,"Sales",F3:F22)</f>
        <v>40625</v>
      </c>
      <c r="W12" t="s">
        <v>79</v>
      </c>
    </row>
    <row r="13" spans="1:23" x14ac:dyDescent="0.35">
      <c r="A13" s="4">
        <v>111</v>
      </c>
      <c r="B13" s="2" t="s">
        <v>24</v>
      </c>
      <c r="C13" s="2" t="s">
        <v>12</v>
      </c>
      <c r="D13" s="2" t="s">
        <v>9</v>
      </c>
      <c r="E13" s="3">
        <v>5</v>
      </c>
      <c r="F13" s="3">
        <v>47000</v>
      </c>
      <c r="G13" s="5" t="s">
        <v>14</v>
      </c>
      <c r="H13" s="5" t="str">
        <f>IF(Table1[[#This Row],[Salary]]&gt;50000,"High Salary","Low Salary")</f>
        <v>Low Salary</v>
      </c>
      <c r="I13" s="5" t="str">
        <f>IF(Table1[[#This Row],[Experience]]&gt;5,"Senior","Junior")</f>
        <v>Junior</v>
      </c>
      <c r="J13" s="17">
        <f>IF(Table1[[#This Row],[Salary]]&gt;60000,Table1[[#This Row],[Salary]]*0.1,0)</f>
        <v>0</v>
      </c>
      <c r="K13" s="5" t="str">
        <f>LEFT(Table1[[#This Row],[Name]],2)</f>
        <v>Ha</v>
      </c>
      <c r="L13" s="19" t="str">
        <f>PROPER(Table1[[#This Row],[Name]])</f>
        <v>Harish</v>
      </c>
      <c r="P13">
        <v>11</v>
      </c>
      <c r="Q13" t="s">
        <v>45</v>
      </c>
      <c r="V13">
        <f>COUNTIF(Table1[Attrition],"Yes")</f>
        <v>6</v>
      </c>
      <c r="W13" t="s">
        <v>77</v>
      </c>
    </row>
    <row r="14" spans="1:23" x14ac:dyDescent="0.35">
      <c r="A14" s="4">
        <v>112</v>
      </c>
      <c r="B14" s="2" t="s">
        <v>25</v>
      </c>
      <c r="C14" s="2" t="s">
        <v>8</v>
      </c>
      <c r="D14" s="2" t="s">
        <v>13</v>
      </c>
      <c r="E14" s="3">
        <v>9</v>
      </c>
      <c r="F14" s="3">
        <v>75000</v>
      </c>
      <c r="G14" s="5" t="s">
        <v>14</v>
      </c>
      <c r="H14" s="5" t="str">
        <f>IF(Table1[[#This Row],[Salary]]&gt;50000,"High Salary","Low Salary")</f>
        <v>High Salary</v>
      </c>
      <c r="I14" s="5" t="str">
        <f>IF(Table1[[#This Row],[Experience]]&gt;5,"Senior","Junior")</f>
        <v>Senior</v>
      </c>
      <c r="J14" s="17">
        <f>IF(Table1[[#This Row],[Salary]]&gt;60000,Table1[[#This Row],[Salary]]*0.1,0)</f>
        <v>7500</v>
      </c>
      <c r="K14" s="5" t="str">
        <f>LEFT(Table1[[#This Row],[Name]],2)</f>
        <v>Sw</v>
      </c>
      <c r="L14" s="19" t="str">
        <f>PROPER(Table1[[#This Row],[Name]])</f>
        <v>Swathi</v>
      </c>
      <c r="P14">
        <v>12</v>
      </c>
      <c r="Q14" t="s">
        <v>46</v>
      </c>
      <c r="V14">
        <f>COUNTIF(Table1[Attrition],"No")</f>
        <v>14</v>
      </c>
      <c r="W14" t="s">
        <v>77</v>
      </c>
    </row>
    <row r="15" spans="1:23" x14ac:dyDescent="0.35">
      <c r="A15" s="4">
        <v>113</v>
      </c>
      <c r="B15" s="2" t="s">
        <v>26</v>
      </c>
      <c r="C15" s="2" t="s">
        <v>16</v>
      </c>
      <c r="D15" s="2" t="s">
        <v>9</v>
      </c>
      <c r="E15" s="3">
        <v>3</v>
      </c>
      <c r="F15" s="3">
        <v>39000</v>
      </c>
      <c r="G15" s="5" t="s">
        <v>10</v>
      </c>
      <c r="H15" s="5" t="str">
        <f>IF(Table1[[#This Row],[Salary]]&gt;50000,"High Salary","Low Salary")</f>
        <v>Low Salary</v>
      </c>
      <c r="I15" s="5" t="str">
        <f>IF(Table1[[#This Row],[Experience]]&gt;5,"Senior","Junior")</f>
        <v>Junior</v>
      </c>
      <c r="J15" s="17">
        <f>IF(Table1[[#This Row],[Salary]]&gt;60000,Table1[[#This Row],[Salary]]*0.1,0)</f>
        <v>0</v>
      </c>
      <c r="K15" s="5" t="str">
        <f>LEFT(Table1[[#This Row],[Name]],2)</f>
        <v>Ar</v>
      </c>
      <c r="L15" s="19" t="str">
        <f>PROPER(Table1[[#This Row],[Name]])</f>
        <v>Arun</v>
      </c>
      <c r="P15">
        <v>13</v>
      </c>
      <c r="Q15" t="s">
        <v>47</v>
      </c>
      <c r="V15" s="14">
        <f>COUNTIF(Table1[Attrition],"Yes")/COUNTIF(Table1[Attrition],"No")</f>
        <v>0.42857142857142855</v>
      </c>
      <c r="W15" t="s">
        <v>80</v>
      </c>
    </row>
    <row r="16" spans="1:23" x14ac:dyDescent="0.35">
      <c r="A16" s="4">
        <v>114</v>
      </c>
      <c r="B16" s="2" t="s">
        <v>27</v>
      </c>
      <c r="C16" s="2" t="s">
        <v>12</v>
      </c>
      <c r="D16" s="2" t="s">
        <v>13</v>
      </c>
      <c r="E16" s="3">
        <v>4</v>
      </c>
      <c r="F16" s="3">
        <v>44000</v>
      </c>
      <c r="G16" s="5" t="s">
        <v>14</v>
      </c>
      <c r="H16" s="5" t="str">
        <f>IF(Table1[[#This Row],[Salary]]&gt;50000,"High Salary","Low Salary")</f>
        <v>Low Salary</v>
      </c>
      <c r="I16" s="5" t="str">
        <f>IF(Table1[[#This Row],[Experience]]&gt;5,"Senior","Junior")</f>
        <v>Junior</v>
      </c>
      <c r="J16" s="17">
        <f>IF(Table1[[#This Row],[Salary]]&gt;60000,Table1[[#This Row],[Salary]]*0.1,0)</f>
        <v>0</v>
      </c>
      <c r="K16" s="5" t="str">
        <f>LEFT(Table1[[#This Row],[Name]],2)</f>
        <v>La</v>
      </c>
      <c r="L16" s="19" t="str">
        <f>PROPER(Table1[[#This Row],[Name]])</f>
        <v>Latha</v>
      </c>
      <c r="N16">
        <v>14</v>
      </c>
      <c r="O16" t="s">
        <v>48</v>
      </c>
      <c r="W16" t="s">
        <v>81</v>
      </c>
    </row>
    <row r="17" spans="1:23" x14ac:dyDescent="0.35">
      <c r="A17" s="4">
        <v>115</v>
      </c>
      <c r="B17" s="2" t="s">
        <v>28</v>
      </c>
      <c r="C17" s="2" t="s">
        <v>16</v>
      </c>
      <c r="D17" s="2" t="s">
        <v>9</v>
      </c>
      <c r="E17" s="3">
        <v>7</v>
      </c>
      <c r="F17" s="3">
        <v>55000</v>
      </c>
      <c r="G17" s="5" t="s">
        <v>14</v>
      </c>
      <c r="H17" s="5" t="str">
        <f>IF(Table1[[#This Row],[Salary]]&gt;50000,"High Salary","Low Salary")</f>
        <v>High Salary</v>
      </c>
      <c r="I17" s="5" t="str">
        <f>IF(Table1[[#This Row],[Experience]]&gt;5,"Senior","Junior")</f>
        <v>Senior</v>
      </c>
      <c r="J17" s="17">
        <f>IF(Table1[[#This Row],[Salary]]&gt;60000,Table1[[#This Row],[Salary]]*0.1,0)</f>
        <v>0</v>
      </c>
      <c r="K17" s="5" t="str">
        <f>LEFT(Table1[[#This Row],[Name]],2)</f>
        <v>Ve</v>
      </c>
      <c r="L17" s="19" t="str">
        <f>PROPER(Table1[[#This Row],[Name]])</f>
        <v>Venkat</v>
      </c>
      <c r="N17">
        <v>15</v>
      </c>
      <c r="O17" t="s">
        <v>49</v>
      </c>
      <c r="V17">
        <f>COUNTIF(Table1[Work Experience],"Senior")</f>
        <v>8</v>
      </c>
      <c r="W17" t="s">
        <v>77</v>
      </c>
    </row>
    <row r="18" spans="1:23" x14ac:dyDescent="0.35">
      <c r="A18" s="4">
        <v>116</v>
      </c>
      <c r="B18" s="2" t="s">
        <v>29</v>
      </c>
      <c r="C18" s="2" t="s">
        <v>8</v>
      </c>
      <c r="D18" s="2" t="s">
        <v>13</v>
      </c>
      <c r="E18" s="3">
        <v>8</v>
      </c>
      <c r="F18" s="3">
        <v>72000</v>
      </c>
      <c r="G18" s="5" t="s">
        <v>14</v>
      </c>
      <c r="H18" s="5" t="str">
        <f>IF(Table1[[#This Row],[Salary]]&gt;50000,"High Salary","Low Salary")</f>
        <v>High Salary</v>
      </c>
      <c r="I18" s="5" t="str">
        <f>IF(Table1[[#This Row],[Experience]]&gt;5,"Senior","Junior")</f>
        <v>Senior</v>
      </c>
      <c r="J18" s="17">
        <f>IF(Table1[[#This Row],[Salary]]&gt;60000,Table1[[#This Row],[Salary]]*0.1,0)</f>
        <v>7200</v>
      </c>
      <c r="K18" s="5" t="str">
        <f>LEFT(Table1[[#This Row],[Name]],2)</f>
        <v>Ge</v>
      </c>
      <c r="L18" s="19" t="str">
        <f>PROPER(Table1[[#This Row],[Name]])</f>
        <v>Geetha</v>
      </c>
      <c r="N18">
        <v>16</v>
      </c>
      <c r="O18" t="s">
        <v>50</v>
      </c>
      <c r="W18" t="s">
        <v>81</v>
      </c>
    </row>
    <row r="19" spans="1:23" x14ac:dyDescent="0.35">
      <c r="A19" s="4">
        <v>117</v>
      </c>
      <c r="B19" s="2" t="s">
        <v>30</v>
      </c>
      <c r="C19" s="2" t="s">
        <v>16</v>
      </c>
      <c r="D19" s="2" t="s">
        <v>9</v>
      </c>
      <c r="E19" s="3">
        <v>2</v>
      </c>
      <c r="F19" s="3">
        <v>36000</v>
      </c>
      <c r="G19" s="5" t="s">
        <v>10</v>
      </c>
      <c r="H19" s="5" t="str">
        <f>IF(Table1[[#This Row],[Salary]]&gt;50000,"High Salary","Low Salary")</f>
        <v>Low Salary</v>
      </c>
      <c r="I19" s="5" t="str">
        <f>IF(Table1[[#This Row],[Experience]]&gt;5,"Senior","Junior")</f>
        <v>Junior</v>
      </c>
      <c r="J19" s="17">
        <f>IF(Table1[[#This Row],[Salary]]&gt;60000,Table1[[#This Row],[Salary]]*0.1,0)</f>
        <v>0</v>
      </c>
      <c r="K19" s="5" t="str">
        <f>LEFT(Table1[[#This Row],[Name]],2)</f>
        <v>Ra</v>
      </c>
      <c r="L19" s="19" t="str">
        <f>PROPER(Table1[[#This Row],[Name]])</f>
        <v>Ramesh</v>
      </c>
      <c r="N19">
        <v>17</v>
      </c>
      <c r="O19" t="s">
        <v>51</v>
      </c>
      <c r="V19">
        <f>COUNTIF(Table1[Salary Range],"High Salary")</f>
        <v>7</v>
      </c>
      <c r="W19" t="s">
        <v>77</v>
      </c>
    </row>
    <row r="20" spans="1:23" x14ac:dyDescent="0.35">
      <c r="A20" s="4">
        <v>118</v>
      </c>
      <c r="B20" s="2" t="s">
        <v>31</v>
      </c>
      <c r="C20" s="2" t="s">
        <v>12</v>
      </c>
      <c r="D20" s="2" t="s">
        <v>13</v>
      </c>
      <c r="E20" s="3">
        <v>6</v>
      </c>
      <c r="F20" s="3">
        <v>50000</v>
      </c>
      <c r="G20" s="5" t="s">
        <v>14</v>
      </c>
      <c r="H20" s="5" t="str">
        <f>IF(Table1[[#This Row],[Salary]]&gt;50000,"High Salary","Low Salary")</f>
        <v>Low Salary</v>
      </c>
      <c r="I20" s="5" t="str">
        <f>IF(Table1[[#This Row],[Experience]]&gt;5,"Senior","Junior")</f>
        <v>Senior</v>
      </c>
      <c r="J20" s="17">
        <f>IF(Table1[[#This Row],[Salary]]&gt;60000,Table1[[#This Row],[Salary]]*0.1,0)</f>
        <v>0</v>
      </c>
      <c r="K20" s="5" t="str">
        <f>LEFT(Table1[[#This Row],[Name]],2)</f>
        <v>Di</v>
      </c>
      <c r="L20" s="19" t="str">
        <f>PROPER(Table1[[#This Row],[Name]])</f>
        <v>Divya</v>
      </c>
      <c r="N20">
        <v>18</v>
      </c>
      <c r="O20" t="s">
        <v>52</v>
      </c>
      <c r="W20" t="s">
        <v>82</v>
      </c>
    </row>
    <row r="21" spans="1:23" x14ac:dyDescent="0.35">
      <c r="A21" s="4">
        <v>119</v>
      </c>
      <c r="B21" s="2" t="s">
        <v>32</v>
      </c>
      <c r="C21" s="2" t="s">
        <v>8</v>
      </c>
      <c r="D21" s="2" t="s">
        <v>9</v>
      </c>
      <c r="E21" s="3">
        <v>10</v>
      </c>
      <c r="F21" s="3">
        <v>80000</v>
      </c>
      <c r="G21" s="5" t="s">
        <v>14</v>
      </c>
      <c r="H21" s="5" t="str">
        <f>IF(Table1[[#This Row],[Salary]]&gt;50000,"High Salary","Low Salary")</f>
        <v>High Salary</v>
      </c>
      <c r="I21" s="5" t="str">
        <f>IF(Table1[[#This Row],[Experience]]&gt;5,"Senior","Junior")</f>
        <v>Senior</v>
      </c>
      <c r="J21" s="17">
        <f>IF(Table1[[#This Row],[Salary]]&gt;60000,Table1[[#This Row],[Salary]]*0.1,0)</f>
        <v>8000</v>
      </c>
      <c r="K21" s="5" t="str">
        <f>LEFT(Table1[[#This Row],[Name]],2)</f>
        <v>Na</v>
      </c>
      <c r="L21" s="19" t="str">
        <f>PROPER(Table1[[#This Row],[Name]])</f>
        <v>Naveen</v>
      </c>
      <c r="N21">
        <v>19</v>
      </c>
      <c r="O21" t="s">
        <v>53</v>
      </c>
      <c r="W21" t="s">
        <v>83</v>
      </c>
    </row>
    <row r="22" spans="1:23" x14ac:dyDescent="0.35">
      <c r="A22" s="10">
        <v>120</v>
      </c>
      <c r="B22" s="11" t="s">
        <v>33</v>
      </c>
      <c r="C22" s="11" t="s">
        <v>16</v>
      </c>
      <c r="D22" s="11" t="s">
        <v>9</v>
      </c>
      <c r="E22" s="12">
        <v>5</v>
      </c>
      <c r="F22" s="12">
        <v>48000</v>
      </c>
      <c r="G22" s="13" t="s">
        <v>14</v>
      </c>
      <c r="H22" s="13" t="str">
        <f>IF(Table1[[#This Row],[Salary]]&gt;50000,"High Salary","Low Salary")</f>
        <v>Low Salary</v>
      </c>
      <c r="I22" s="13" t="str">
        <f>IF(Table1[[#This Row],[Experience]]&gt;5,"Senior","Junior")</f>
        <v>Junior</v>
      </c>
      <c r="J22" s="18">
        <f>IF(Table1[[#This Row],[Salary]]&gt;60000,Table1[[#This Row],[Salary]]*0.1,0)</f>
        <v>0</v>
      </c>
      <c r="K22" s="13" t="str">
        <f>LEFT(Table1[[#This Row],[Name]],2)</f>
        <v>Su</v>
      </c>
      <c r="L22" s="21" t="str">
        <f>PROPER(Table1[[#This Row],[Name]])</f>
        <v>Suresh</v>
      </c>
      <c r="N22">
        <v>20</v>
      </c>
      <c r="O22" t="s">
        <v>54</v>
      </c>
      <c r="W22" t="s">
        <v>84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E1D1-5218-496A-AF3E-23E7B5D8AD86}">
  <dimension ref="A1:B22"/>
  <sheetViews>
    <sheetView workbookViewId="0">
      <selection activeCell="A3" sqref="A3:H22"/>
    </sheetView>
  </sheetViews>
  <sheetFormatPr defaultRowHeight="14.5" x14ac:dyDescent="0.35"/>
  <sheetData>
    <row r="1" spans="1:2" x14ac:dyDescent="0.35">
      <c r="A1" s="1" t="s">
        <v>34</v>
      </c>
      <c r="B1" s="1"/>
    </row>
    <row r="3" spans="1:2" x14ac:dyDescent="0.35">
      <c r="A3">
        <v>1</v>
      </c>
      <c r="B3" t="s">
        <v>35</v>
      </c>
    </row>
    <row r="4" spans="1:2" x14ac:dyDescent="0.35">
      <c r="A4">
        <v>2</v>
      </c>
      <c r="B4" t="s">
        <v>36</v>
      </c>
    </row>
    <row r="5" spans="1:2" x14ac:dyDescent="0.35">
      <c r="A5">
        <v>3</v>
      </c>
      <c r="B5" t="s">
        <v>37</v>
      </c>
    </row>
    <row r="6" spans="1:2" x14ac:dyDescent="0.35">
      <c r="A6">
        <v>4</v>
      </c>
      <c r="B6" t="s">
        <v>38</v>
      </c>
    </row>
    <row r="7" spans="1:2" x14ac:dyDescent="0.35">
      <c r="A7">
        <v>5</v>
      </c>
      <c r="B7" t="s">
        <v>39</v>
      </c>
    </row>
    <row r="8" spans="1:2" x14ac:dyDescent="0.35">
      <c r="A8">
        <v>6</v>
      </c>
      <c r="B8" t="s">
        <v>40</v>
      </c>
    </row>
    <row r="9" spans="1:2" x14ac:dyDescent="0.35">
      <c r="A9">
        <v>7</v>
      </c>
      <c r="B9" t="s">
        <v>41</v>
      </c>
    </row>
    <row r="10" spans="1:2" x14ac:dyDescent="0.35">
      <c r="A10">
        <v>8</v>
      </c>
      <c r="B10" t="s">
        <v>42</v>
      </c>
    </row>
    <row r="11" spans="1:2" x14ac:dyDescent="0.35">
      <c r="A11">
        <v>9</v>
      </c>
      <c r="B11" t="s">
        <v>43</v>
      </c>
    </row>
    <row r="12" spans="1:2" x14ac:dyDescent="0.35">
      <c r="A12">
        <v>10</v>
      </c>
      <c r="B12" t="s">
        <v>44</v>
      </c>
    </row>
    <row r="13" spans="1:2" x14ac:dyDescent="0.35">
      <c r="A13">
        <v>11</v>
      </c>
      <c r="B13" t="s">
        <v>45</v>
      </c>
    </row>
    <row r="14" spans="1:2" x14ac:dyDescent="0.35">
      <c r="A14">
        <v>12</v>
      </c>
      <c r="B14" t="s">
        <v>46</v>
      </c>
    </row>
    <row r="15" spans="1:2" x14ac:dyDescent="0.35">
      <c r="A15">
        <v>13</v>
      </c>
      <c r="B15" t="s">
        <v>47</v>
      </c>
    </row>
    <row r="16" spans="1:2" x14ac:dyDescent="0.35">
      <c r="A16">
        <v>14</v>
      </c>
      <c r="B16" t="s">
        <v>48</v>
      </c>
    </row>
    <row r="17" spans="1:2" x14ac:dyDescent="0.35">
      <c r="A17">
        <v>15</v>
      </c>
      <c r="B17" t="s">
        <v>49</v>
      </c>
    </row>
    <row r="18" spans="1:2" x14ac:dyDescent="0.35">
      <c r="A18">
        <v>16</v>
      </c>
      <c r="B18" t="s">
        <v>50</v>
      </c>
    </row>
    <row r="19" spans="1:2" x14ac:dyDescent="0.35">
      <c r="A19">
        <v>17</v>
      </c>
      <c r="B19" t="s">
        <v>51</v>
      </c>
    </row>
    <row r="20" spans="1:2" x14ac:dyDescent="0.35">
      <c r="A20">
        <v>18</v>
      </c>
      <c r="B20" t="s">
        <v>52</v>
      </c>
    </row>
    <row r="21" spans="1:2" x14ac:dyDescent="0.35">
      <c r="A21">
        <v>19</v>
      </c>
      <c r="B21" t="s">
        <v>53</v>
      </c>
    </row>
    <row r="22" spans="1:2" x14ac:dyDescent="0.35">
      <c r="A22">
        <v>20</v>
      </c>
      <c r="B2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54D4-574F-4425-8EA3-B934C930D257}">
  <dimension ref="A1:J12"/>
  <sheetViews>
    <sheetView tabSelected="1" workbookViewId="0">
      <selection activeCell="Q11" sqref="Q11"/>
    </sheetView>
  </sheetViews>
  <sheetFormatPr defaultRowHeight="14.5" x14ac:dyDescent="0.35"/>
  <cols>
    <col min="10" max="10" width="15.6328125" customWidth="1"/>
  </cols>
  <sheetData>
    <row r="1" spans="1:10" x14ac:dyDescent="0.35">
      <c r="A1" s="1" t="s">
        <v>55</v>
      </c>
      <c r="B1" s="1"/>
    </row>
    <row r="3" spans="1:10" x14ac:dyDescent="0.35">
      <c r="B3" s="24" t="s">
        <v>56</v>
      </c>
      <c r="C3" s="24"/>
      <c r="D3" s="24"/>
      <c r="E3" s="24"/>
      <c r="F3" s="24"/>
      <c r="G3" s="24"/>
      <c r="H3" s="24"/>
      <c r="I3" s="24"/>
      <c r="J3" s="23" t="s">
        <v>85</v>
      </c>
    </row>
    <row r="4" spans="1:10" x14ac:dyDescent="0.35">
      <c r="B4" s="24" t="s">
        <v>57</v>
      </c>
      <c r="C4" s="24"/>
      <c r="D4" s="24"/>
      <c r="E4" s="24"/>
      <c r="F4" s="24"/>
      <c r="G4" s="24"/>
      <c r="H4" s="24"/>
      <c r="I4" s="24"/>
      <c r="J4" s="23" t="s">
        <v>86</v>
      </c>
    </row>
    <row r="5" spans="1:10" x14ac:dyDescent="0.35">
      <c r="B5" s="24" t="s">
        <v>58</v>
      </c>
      <c r="C5" s="24"/>
      <c r="D5" s="24"/>
      <c r="E5" s="24"/>
      <c r="F5" s="24"/>
      <c r="G5" s="24"/>
      <c r="H5" s="24"/>
      <c r="I5" s="24"/>
      <c r="J5" s="23" t="s">
        <v>87</v>
      </c>
    </row>
    <row r="6" spans="1:10" x14ac:dyDescent="0.35">
      <c r="B6" s="24" t="s">
        <v>59</v>
      </c>
      <c r="C6" s="24"/>
      <c r="D6" s="24"/>
      <c r="E6" s="24"/>
      <c r="F6" s="24"/>
      <c r="G6" s="24"/>
      <c r="H6" s="24"/>
      <c r="I6" s="24"/>
      <c r="J6" s="23" t="s">
        <v>88</v>
      </c>
    </row>
    <row r="7" spans="1:10" x14ac:dyDescent="0.35">
      <c r="B7" s="24" t="s">
        <v>60</v>
      </c>
      <c r="C7" s="24"/>
      <c r="D7" s="24"/>
      <c r="E7" s="24"/>
      <c r="F7" s="24"/>
      <c r="G7" s="24"/>
      <c r="H7" s="24"/>
      <c r="I7" s="24"/>
      <c r="J7" s="23" t="s">
        <v>89</v>
      </c>
    </row>
    <row r="8" spans="1:10" x14ac:dyDescent="0.35">
      <c r="B8" s="24" t="s">
        <v>61</v>
      </c>
      <c r="C8" s="24"/>
      <c r="D8" s="24"/>
      <c r="E8" s="24"/>
      <c r="F8" s="24"/>
      <c r="G8" s="24"/>
      <c r="H8" s="24"/>
      <c r="I8" s="24"/>
      <c r="J8" s="23" t="s">
        <v>90</v>
      </c>
    </row>
    <row r="9" spans="1:10" x14ac:dyDescent="0.35">
      <c r="B9" s="24" t="s">
        <v>62</v>
      </c>
      <c r="C9" s="24"/>
      <c r="D9" s="24"/>
      <c r="E9" s="24"/>
      <c r="F9" s="24"/>
      <c r="G9" s="24"/>
      <c r="H9" s="24"/>
      <c r="I9" s="24"/>
      <c r="J9" s="23" t="s">
        <v>91</v>
      </c>
    </row>
    <row r="10" spans="1:10" x14ac:dyDescent="0.35">
      <c r="B10" s="24" t="s">
        <v>63</v>
      </c>
      <c r="C10" s="24"/>
      <c r="D10" s="24"/>
      <c r="E10" s="24"/>
      <c r="F10" s="24"/>
      <c r="G10" s="24"/>
      <c r="H10" s="24"/>
      <c r="I10" s="24"/>
      <c r="J10" s="23" t="s">
        <v>92</v>
      </c>
    </row>
    <row r="11" spans="1:10" x14ac:dyDescent="0.35">
      <c r="B11" s="24" t="s">
        <v>64</v>
      </c>
      <c r="C11" s="24"/>
      <c r="D11" s="24"/>
      <c r="E11" s="24"/>
      <c r="F11" s="24"/>
      <c r="G11" s="24"/>
      <c r="H11" s="24"/>
      <c r="I11" s="24"/>
      <c r="J11" s="23" t="s">
        <v>92</v>
      </c>
    </row>
    <row r="12" spans="1:10" x14ac:dyDescent="0.35">
      <c r="B12" s="24" t="s">
        <v>65</v>
      </c>
      <c r="C12" s="24"/>
      <c r="D12" s="24"/>
      <c r="E12" s="24"/>
      <c r="F12" s="24"/>
      <c r="G12" s="24"/>
      <c r="H12" s="24"/>
      <c r="I12" s="24"/>
      <c r="J12" s="2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Business Questions</vt:lpstr>
      <vt:lpstr>Interview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V</dc:creator>
  <cp:lastModifiedBy>raghavendra doppalapudi</cp:lastModifiedBy>
  <dcterms:created xsi:type="dcterms:W3CDTF">2026-06-17T13:04:57Z</dcterms:created>
  <dcterms:modified xsi:type="dcterms:W3CDTF">2026-06-27T05:32:29Z</dcterms:modified>
</cp:coreProperties>
</file>